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pu_sy\Desktop\"/>
    </mc:Choice>
  </mc:AlternateContent>
  <bookViews>
    <workbookView xWindow="0" yWindow="0" windowWidth="21570" windowHeight="7455" firstSheet="1" activeTab="1"/>
  </bookViews>
  <sheets>
    <sheet name="Справочник" sheetId="1" state="hidden" r:id="rId1"/>
    <sheet name="Форма приоретизации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/>
  <c r="B28" i="4"/>
  <c r="B32" i="4"/>
  <c r="B20" i="4" l="1"/>
  <c r="B16" i="4"/>
  <c r="B8" i="4"/>
  <c r="B24" i="4"/>
  <c r="B3" i="4"/>
  <c r="B36" i="4" l="1"/>
  <c r="D8" i="4" s="1"/>
</calcChain>
</file>

<file path=xl/sharedStrings.xml><?xml version="1.0" encoding="utf-8"?>
<sst xmlns="http://schemas.openxmlformats.org/spreadsheetml/2006/main" count="67" uniqueCount="32">
  <si>
    <t>Появление нового процесса</t>
  </si>
  <si>
    <t>Наименование  фактора</t>
  </si>
  <si>
    <t>Вес</t>
  </si>
  <si>
    <t>Существенное изменение старого технологического или бизнес-процесса</t>
  </si>
  <si>
    <t>2 и более интеграционных потока</t>
  </si>
  <si>
    <t>Бюджет задачи от 1 млн.руб</t>
  </si>
  <si>
    <t>Наличие Вендора/появление нового Вендора</t>
  </si>
  <si>
    <t>№</t>
  </si>
  <si>
    <t>Число участников для реализации от 5 человек</t>
  </si>
  <si>
    <t>Наличие критичного срока на ввод в ПЭ</t>
  </si>
  <si>
    <t>да</t>
  </si>
  <si>
    <t>нет</t>
  </si>
  <si>
    <t>Выбор</t>
  </si>
  <si>
    <t>Баллы</t>
  </si>
  <si>
    <t>Параметр</t>
  </si>
  <si>
    <t>Значение</t>
  </si>
  <si>
    <t>Да</t>
  </si>
  <si>
    <t>Нет</t>
  </si>
  <si>
    <t>Существует ли обходное решение?</t>
  </si>
  <si>
    <t>Реализация автоматизирует ручной процесс и экономит трудовой ресурс?</t>
  </si>
  <si>
    <t>0-10 чел/час в месяц</t>
  </si>
  <si>
    <t>10-50 чел/час в месяц</t>
  </si>
  <si>
    <t>50+ чел/час</t>
  </si>
  <si>
    <t>Без реализации страдает критический бизнес-процесс?</t>
  </si>
  <si>
    <t>Решение позволяет автоматизировать работу дополнительных офисов?</t>
  </si>
  <si>
    <t>Реализация направлена на улучшение клиентского опыта?</t>
  </si>
  <si>
    <t>Задача была поставлена Председателем Правления/Членами Правления?</t>
  </si>
  <si>
    <t>Решение позволяет интегрировать две и более систем?</t>
  </si>
  <si>
    <t>Приоритет</t>
  </si>
  <si>
    <t xml:space="preserve">Инициатива направлена на выполнение требований ЦБ/Законов РФ? </t>
  </si>
  <si>
    <t>Форма оценки инициативы для команды RPA</t>
  </si>
  <si>
    <t>ИТОГО (MAX 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</si>
</sst>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 shrinkToFi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wrapText="1"/>
    </xf>
    <xf numFmtId="0" fontId="0" fillId="0" borderId="4" xfId="0" applyBorder="1"/>
    <xf numFmtId="0" fontId="2" fillId="0" borderId="5" xfId="0" applyFont="1" applyBorder="1" applyAlignment="1">
      <alignment horizontal="left" vertical="center" wrapText="1" shrinkToFi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7" xfId="0" applyBorder="1"/>
    <xf numFmtId="0" fontId="0" fillId="0" borderId="21" xfId="0" applyBorder="1" applyAlignment="1"/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0" sqref="C10"/>
    </sheetView>
  </sheetViews>
  <sheetFormatPr defaultRowHeight="15" x14ac:dyDescent="0.25"/>
  <cols>
    <col min="2" max="2" width="33.140625" style="1" customWidth="1"/>
  </cols>
  <sheetData>
    <row r="1" spans="1:3" x14ac:dyDescent="0.25">
      <c r="A1" t="s">
        <v>7</v>
      </c>
      <c r="B1" s="2" t="s">
        <v>1</v>
      </c>
      <c r="C1" s="3" t="s">
        <v>2</v>
      </c>
    </row>
    <row r="2" spans="1:3" x14ac:dyDescent="0.25">
      <c r="A2">
        <v>1</v>
      </c>
      <c r="B2" s="1" t="s">
        <v>0</v>
      </c>
      <c r="C2">
        <v>1</v>
      </c>
    </row>
    <row r="3" spans="1:3" ht="45" x14ac:dyDescent="0.25">
      <c r="A3">
        <v>2</v>
      </c>
      <c r="B3" s="1" t="s">
        <v>3</v>
      </c>
      <c r="C3">
        <v>2</v>
      </c>
    </row>
    <row r="4" spans="1:3" x14ac:dyDescent="0.25">
      <c r="A4">
        <v>3</v>
      </c>
      <c r="B4" s="1" t="s">
        <v>4</v>
      </c>
      <c r="C4">
        <v>3</v>
      </c>
    </row>
    <row r="5" spans="1:3" x14ac:dyDescent="0.25">
      <c r="A5">
        <v>4</v>
      </c>
      <c r="B5" s="1" t="s">
        <v>5</v>
      </c>
      <c r="C5">
        <v>1</v>
      </c>
    </row>
    <row r="6" spans="1:3" ht="30" x14ac:dyDescent="0.25">
      <c r="A6">
        <v>5</v>
      </c>
      <c r="B6" s="1" t="s">
        <v>6</v>
      </c>
      <c r="C6">
        <v>1</v>
      </c>
    </row>
    <row r="7" spans="1:3" ht="30" x14ac:dyDescent="0.25">
      <c r="A7">
        <v>6</v>
      </c>
      <c r="B7" s="1" t="s">
        <v>8</v>
      </c>
      <c r="C7">
        <v>1</v>
      </c>
    </row>
    <row r="8" spans="1:3" ht="30" x14ac:dyDescent="0.25">
      <c r="A8">
        <v>7</v>
      </c>
      <c r="B8" s="1" t="s">
        <v>9</v>
      </c>
      <c r="C8">
        <v>3</v>
      </c>
    </row>
    <row r="11" spans="1:3" x14ac:dyDescent="0.25">
      <c r="C11" t="s">
        <v>10</v>
      </c>
    </row>
    <row r="12" spans="1:3" x14ac:dyDescent="0.25">
      <c r="C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view="pageBreakPreview" zoomScaleNormal="100" zoomScaleSheetLayoutView="100" workbookViewId="0">
      <selection activeCell="B3" sqref="B3"/>
    </sheetView>
  </sheetViews>
  <sheetFormatPr defaultRowHeight="15" outlineLevelRow="1" x14ac:dyDescent="0.25"/>
  <cols>
    <col min="1" max="1" width="41.5703125" customWidth="1"/>
    <col min="2" max="2" width="28.28515625" customWidth="1"/>
    <col min="3" max="3" width="30.28515625" customWidth="1"/>
    <col min="4" max="4" width="20.85546875" customWidth="1"/>
  </cols>
  <sheetData>
    <row r="1" spans="1:4" ht="25.5" customHeight="1" thickBot="1" x14ac:dyDescent="0.3">
      <c r="A1" s="34" t="s">
        <v>30</v>
      </c>
      <c r="B1" s="35"/>
      <c r="C1" s="35"/>
      <c r="D1" s="36"/>
    </row>
    <row r="2" spans="1:4" ht="21" x14ac:dyDescent="0.25">
      <c r="A2" s="24" t="s">
        <v>14</v>
      </c>
      <c r="B2" s="25" t="s">
        <v>13</v>
      </c>
      <c r="C2" s="26" t="s">
        <v>12</v>
      </c>
      <c r="D2" s="32" t="s">
        <v>28</v>
      </c>
    </row>
    <row r="3" spans="1:4" ht="39.75" customHeight="1" x14ac:dyDescent="0.25">
      <c r="A3" s="13" t="s">
        <v>19</v>
      </c>
      <c r="B3" s="4">
        <f>IF(C3="0-10 чел/час в месяц",1,IF(C3="10-50 чел/час в месяц",2,IF(C3="50+ чел/час",3,)))</f>
        <v>3</v>
      </c>
      <c r="C3" s="11" t="s">
        <v>22</v>
      </c>
      <c r="D3" s="33"/>
    </row>
    <row r="4" spans="1:4" ht="15.75" hidden="1" outlineLevel="1" x14ac:dyDescent="0.25">
      <c r="A4" s="14"/>
      <c r="B4" s="7" t="s">
        <v>15</v>
      </c>
      <c r="C4" s="10" t="s">
        <v>13</v>
      </c>
      <c r="D4" s="28"/>
    </row>
    <row r="5" spans="1:4" ht="15.75" hidden="1" outlineLevel="1" x14ac:dyDescent="0.25">
      <c r="A5" s="14"/>
      <c r="B5" s="5" t="s">
        <v>20</v>
      </c>
      <c r="C5" s="11">
        <v>1</v>
      </c>
      <c r="D5" s="28"/>
    </row>
    <row r="6" spans="1:4" ht="15.75" hidden="1" outlineLevel="1" x14ac:dyDescent="0.25">
      <c r="A6" s="14"/>
      <c r="B6" s="6" t="s">
        <v>21</v>
      </c>
      <c r="C6" s="11">
        <v>2</v>
      </c>
      <c r="D6" s="28"/>
    </row>
    <row r="7" spans="1:4" ht="15.75" hidden="1" outlineLevel="1" x14ac:dyDescent="0.25">
      <c r="A7" s="14"/>
      <c r="B7" s="5" t="s">
        <v>22</v>
      </c>
      <c r="C7" s="11">
        <v>3</v>
      </c>
      <c r="D7" s="28"/>
    </row>
    <row r="8" spans="1:4" ht="39" customHeight="1" collapsed="1" thickBot="1" x14ac:dyDescent="0.3">
      <c r="A8" s="13" t="s">
        <v>23</v>
      </c>
      <c r="B8" s="4">
        <f>IF(C8="Да",1,IF(C8="Нет",0,))</f>
        <v>1</v>
      </c>
      <c r="C8" s="11" t="s">
        <v>16</v>
      </c>
      <c r="D8" s="23">
        <f>B36</f>
        <v>15</v>
      </c>
    </row>
    <row r="9" spans="1:4" ht="15.75" hidden="1" customHeight="1" outlineLevel="1" x14ac:dyDescent="0.25">
      <c r="A9" s="15"/>
      <c r="B9" s="7" t="s">
        <v>15</v>
      </c>
      <c r="C9" s="10" t="s">
        <v>13</v>
      </c>
      <c r="D9" s="29"/>
    </row>
    <row r="10" spans="1:4" ht="15.75" hidden="1" customHeight="1" outlineLevel="1" x14ac:dyDescent="0.25">
      <c r="A10" s="15"/>
      <c r="B10" s="5" t="s">
        <v>16</v>
      </c>
      <c r="C10" s="11">
        <v>1</v>
      </c>
      <c r="D10" s="29"/>
    </row>
    <row r="11" spans="1:4" ht="15.75" hidden="1" customHeight="1" outlineLevel="1" x14ac:dyDescent="0.25">
      <c r="A11" s="15"/>
      <c r="B11" s="6" t="s">
        <v>17</v>
      </c>
      <c r="C11" s="11">
        <v>0</v>
      </c>
      <c r="D11" s="29"/>
    </row>
    <row r="12" spans="1:4" ht="43.5" customHeight="1" collapsed="1" x14ac:dyDescent="0.25">
      <c r="A12" s="13" t="s">
        <v>25</v>
      </c>
      <c r="B12" s="4">
        <f>IF(C12="Да",2,IF(C12="Нет",0,))</f>
        <v>2</v>
      </c>
      <c r="C12" s="11" t="s">
        <v>16</v>
      </c>
      <c r="D12" s="37"/>
    </row>
    <row r="13" spans="1:4" ht="15.75" hidden="1" customHeight="1" outlineLevel="1" x14ac:dyDescent="0.25">
      <c r="A13" s="15"/>
      <c r="B13" s="7" t="s">
        <v>15</v>
      </c>
      <c r="C13" s="10" t="s">
        <v>13</v>
      </c>
      <c r="D13" s="37"/>
    </row>
    <row r="14" spans="1:4" ht="15.75" hidden="1" customHeight="1" outlineLevel="1" x14ac:dyDescent="0.25">
      <c r="A14" s="15"/>
      <c r="B14" s="5" t="s">
        <v>16</v>
      </c>
      <c r="C14" s="11">
        <v>2</v>
      </c>
      <c r="D14" s="37"/>
    </row>
    <row r="15" spans="1:4" ht="15.75" hidden="1" customHeight="1" outlineLevel="1" x14ac:dyDescent="0.25">
      <c r="A15" s="15"/>
      <c r="B15" s="6" t="s">
        <v>17</v>
      </c>
      <c r="C15" s="11">
        <v>0</v>
      </c>
      <c r="D15" s="37"/>
    </row>
    <row r="16" spans="1:4" ht="45.75" customHeight="1" collapsed="1" x14ac:dyDescent="0.25">
      <c r="A16" s="13" t="s">
        <v>27</v>
      </c>
      <c r="B16" s="4">
        <f>IF(C16="Да",1,IF(C16="Нет",0,))</f>
        <v>1</v>
      </c>
      <c r="C16" s="11" t="s">
        <v>16</v>
      </c>
      <c r="D16" s="37"/>
    </row>
    <row r="17" spans="1:4" ht="15.75" hidden="1" customHeight="1" outlineLevel="1" x14ac:dyDescent="0.25">
      <c r="A17" s="15"/>
      <c r="B17" s="7" t="s">
        <v>15</v>
      </c>
      <c r="C17" s="10" t="s">
        <v>13</v>
      </c>
      <c r="D17" s="37"/>
    </row>
    <row r="18" spans="1:4" ht="15.75" hidden="1" customHeight="1" outlineLevel="1" x14ac:dyDescent="0.25">
      <c r="A18" s="15"/>
      <c r="B18" s="5" t="s">
        <v>16</v>
      </c>
      <c r="C18" s="11">
        <v>1</v>
      </c>
      <c r="D18" s="37"/>
    </row>
    <row r="19" spans="1:4" ht="15.75" hidden="1" customHeight="1" outlineLevel="1" x14ac:dyDescent="0.25">
      <c r="A19" s="15"/>
      <c r="B19" s="6" t="s">
        <v>17</v>
      </c>
      <c r="C19" s="11">
        <v>0</v>
      </c>
      <c r="D19" s="37"/>
    </row>
    <row r="20" spans="1:4" ht="42.75" customHeight="1" collapsed="1" x14ac:dyDescent="0.25">
      <c r="A20" s="14" t="s">
        <v>18</v>
      </c>
      <c r="B20" s="4">
        <f>IF(C20="Да",0,IF(C20="Нет",1))</f>
        <v>1</v>
      </c>
      <c r="C20" s="11" t="s">
        <v>17</v>
      </c>
      <c r="D20" s="37"/>
    </row>
    <row r="21" spans="1:4" ht="15.75" hidden="1" customHeight="1" outlineLevel="1" x14ac:dyDescent="0.25">
      <c r="A21" s="14"/>
      <c r="B21" s="12" t="s">
        <v>15</v>
      </c>
      <c r="C21" s="16" t="s">
        <v>13</v>
      </c>
      <c r="D21" s="37"/>
    </row>
    <row r="22" spans="1:4" ht="15.75" hidden="1" customHeight="1" outlineLevel="1" x14ac:dyDescent="0.25">
      <c r="A22" s="14"/>
      <c r="B22" s="4" t="s">
        <v>16</v>
      </c>
      <c r="C22" s="11">
        <v>0</v>
      </c>
      <c r="D22" s="37"/>
    </row>
    <row r="23" spans="1:4" ht="15.75" hidden="1" customHeight="1" outlineLevel="1" x14ac:dyDescent="0.25">
      <c r="A23" s="14"/>
      <c r="B23" s="4" t="s">
        <v>17</v>
      </c>
      <c r="C23" s="11">
        <v>1</v>
      </c>
      <c r="D23" s="37"/>
    </row>
    <row r="24" spans="1:4" ht="48" customHeight="1" collapsed="1" x14ac:dyDescent="0.25">
      <c r="A24" s="14" t="s">
        <v>24</v>
      </c>
      <c r="B24" s="4">
        <f>IF(C24="Да",1,IF(C24="Нет",0))</f>
        <v>1</v>
      </c>
      <c r="C24" s="11" t="s">
        <v>16</v>
      </c>
      <c r="D24" s="37"/>
    </row>
    <row r="25" spans="1:4" ht="15.75" hidden="1" customHeight="1" outlineLevel="1" x14ac:dyDescent="0.25">
      <c r="A25" s="14"/>
      <c r="B25" s="12" t="s">
        <v>15</v>
      </c>
      <c r="C25" s="16" t="s">
        <v>13</v>
      </c>
      <c r="D25" s="37"/>
    </row>
    <row r="26" spans="1:4" ht="15.75" hidden="1" customHeight="1" outlineLevel="1" x14ac:dyDescent="0.25">
      <c r="A26" s="14"/>
      <c r="B26" s="4" t="s">
        <v>17</v>
      </c>
      <c r="C26" s="11">
        <v>0</v>
      </c>
      <c r="D26" s="37"/>
    </row>
    <row r="27" spans="1:4" ht="15.75" hidden="1" customHeight="1" outlineLevel="1" x14ac:dyDescent="0.25">
      <c r="A27" s="15"/>
      <c r="B27" s="4" t="s">
        <v>16</v>
      </c>
      <c r="C27" s="11">
        <v>1</v>
      </c>
      <c r="D27" s="37"/>
    </row>
    <row r="28" spans="1:4" ht="44.25" customHeight="1" collapsed="1" x14ac:dyDescent="0.25">
      <c r="A28" s="14" t="s">
        <v>29</v>
      </c>
      <c r="B28" s="4">
        <f>IF(C28="Да",3,IF(C28="Нет",0))</f>
        <v>3</v>
      </c>
      <c r="C28" s="11" t="s">
        <v>16</v>
      </c>
      <c r="D28" s="37"/>
    </row>
    <row r="29" spans="1:4" ht="15.75" hidden="1" customHeight="1" outlineLevel="1" x14ac:dyDescent="0.25">
      <c r="A29" s="17"/>
      <c r="B29" s="12" t="s">
        <v>15</v>
      </c>
      <c r="C29" s="16" t="s">
        <v>13</v>
      </c>
      <c r="D29" s="37"/>
    </row>
    <row r="30" spans="1:4" ht="15.75" hidden="1" customHeight="1" outlineLevel="1" x14ac:dyDescent="0.25">
      <c r="A30" s="17"/>
      <c r="B30" s="4" t="s">
        <v>17</v>
      </c>
      <c r="C30" s="11">
        <v>0</v>
      </c>
      <c r="D30" s="37"/>
    </row>
    <row r="31" spans="1:4" ht="15.75" hidden="1" customHeight="1" outlineLevel="1" x14ac:dyDescent="0.25">
      <c r="A31" s="18"/>
      <c r="B31" s="4" t="s">
        <v>16</v>
      </c>
      <c r="C31" s="11">
        <v>3</v>
      </c>
      <c r="D31" s="37"/>
    </row>
    <row r="32" spans="1:4" ht="46.5" customHeight="1" collapsed="1" thickBot="1" x14ac:dyDescent="0.3">
      <c r="A32" s="19" t="s">
        <v>26</v>
      </c>
      <c r="B32" s="20">
        <f>IF(C32="Да",3,IF(C32="Нет",0,))</f>
        <v>3</v>
      </c>
      <c r="C32" s="21" t="s">
        <v>16</v>
      </c>
      <c r="D32" s="37"/>
    </row>
    <row r="33" spans="1:4" ht="16.5" hidden="1" customHeight="1" outlineLevel="1" thickBot="1" x14ac:dyDescent="0.3">
      <c r="A33" s="27"/>
      <c r="B33" s="7" t="s">
        <v>15</v>
      </c>
      <c r="C33" s="10" t="s">
        <v>13</v>
      </c>
      <c r="D33" s="37"/>
    </row>
    <row r="34" spans="1:4" ht="16.5" hidden="1" customHeight="1" outlineLevel="1" thickBot="1" x14ac:dyDescent="0.3">
      <c r="A34" s="27"/>
      <c r="B34" s="5" t="s">
        <v>16</v>
      </c>
      <c r="C34" s="11">
        <v>3</v>
      </c>
      <c r="D34" s="37"/>
    </row>
    <row r="35" spans="1:4" ht="16.5" hidden="1" customHeight="1" outlineLevel="1" thickBot="1" x14ac:dyDescent="0.3">
      <c r="A35" s="27"/>
      <c r="B35" s="8" t="s">
        <v>17</v>
      </c>
      <c r="C35" s="11">
        <v>0</v>
      </c>
      <c r="D35" s="37"/>
    </row>
    <row r="36" spans="1:4" ht="15.75" collapsed="1" thickBot="1" x14ac:dyDescent="0.3">
      <c r="A36" s="22" t="s">
        <v>31</v>
      </c>
      <c r="B36" s="30">
        <f>SUM(B3:B32)</f>
        <v>15</v>
      </c>
      <c r="C36" s="31"/>
      <c r="D36" s="38"/>
    </row>
    <row r="37" spans="1:4" x14ac:dyDescent="0.25">
      <c r="A37" s="9"/>
    </row>
    <row r="38" spans="1:4" x14ac:dyDescent="0.25">
      <c r="A38" s="9"/>
    </row>
    <row r="39" spans="1:4" x14ac:dyDescent="0.25">
      <c r="A39" s="9"/>
    </row>
  </sheetData>
  <mergeCells count="4">
    <mergeCell ref="B36:C36"/>
    <mergeCell ref="D2:D3"/>
    <mergeCell ref="A1:D1"/>
    <mergeCell ref="D12:D36"/>
  </mergeCells>
  <dataValidations count="4">
    <dataValidation type="list" allowBlank="1" showInputMessage="1" showErrorMessage="1" sqref="C3">
      <formula1>$B$5:$B$7</formula1>
    </dataValidation>
    <dataValidation type="list" allowBlank="1" showInputMessage="1" showErrorMessage="1" sqref="C8 C16 C32 C12">
      <formula1>$B$10:$B$11</formula1>
    </dataValidation>
    <dataValidation type="list" allowBlank="1" showInputMessage="1" showErrorMessage="1" sqref="C24 C28">
      <formula1>$B$26:$B$27</formula1>
    </dataValidation>
    <dataValidation type="list" allowBlank="1" showInputMessage="1" showErrorMessage="1" sqref="C20">
      <formula1>$B$22:$B$23</formula1>
    </dataValidation>
  </dataValidations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</vt:lpstr>
      <vt:lpstr>Форма приоретизации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Курилова Елена Васильевна</dc:creator>
  <cp:lastModifiedBy>Лупу Севастьян Юрьевич</cp:lastModifiedBy>
  <dcterms:created xsi:type="dcterms:W3CDTF">2023-06-06T02:13:11Z</dcterms:created>
  <dcterms:modified xsi:type="dcterms:W3CDTF">2026-05-18T12:38:34Z</dcterms:modified>
</cp:coreProperties>
</file>