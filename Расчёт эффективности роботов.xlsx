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700"/>
  </bookViews>
  <sheets>
    <sheet name="Расчёт стоимости процесса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7" l="1"/>
  <c r="B10" i="7"/>
  <c r="B11" i="7"/>
  <c r="B12" i="7"/>
  <c r="B13" i="7"/>
  <c r="B18" i="7" s="1"/>
  <c r="B30" i="7" s="1"/>
  <c r="B31" i="7" s="1"/>
  <c r="B15" i="7"/>
  <c r="B16" i="7" s="1"/>
  <c r="B19" i="7" s="1"/>
  <c r="F5" i="7"/>
  <c r="G5" i="7" s="1"/>
  <c r="B33" i="7" s="1"/>
  <c r="F8" i="7"/>
  <c r="G8" i="7" s="1"/>
  <c r="B34" i="7" s="1"/>
  <c r="F30" i="7"/>
  <c r="H30" i="7" s="1"/>
  <c r="I30" i="7" s="1"/>
  <c r="B17" i="7" l="1"/>
  <c r="D30" i="7"/>
  <c r="D31" i="7" s="1"/>
  <c r="B21" i="7"/>
  <c r="B37" i="7" s="1"/>
  <c r="B20" i="7"/>
  <c r="C30" i="7" s="1"/>
  <c r="B35" i="7" l="1"/>
  <c r="B36" i="7" s="1"/>
  <c r="C31" i="7"/>
</calcChain>
</file>

<file path=xl/sharedStrings.xml><?xml version="1.0" encoding="utf-8"?>
<sst xmlns="http://schemas.openxmlformats.org/spreadsheetml/2006/main" count="48" uniqueCount="46">
  <si>
    <t>Расчётное количество рабочих часов, затрачиваемых на разработку (час)</t>
  </si>
  <si>
    <t>Средняя заработная плата программиста за 1 час работы</t>
  </si>
  <si>
    <t>Выполняемый процесс</t>
  </si>
  <si>
    <t>Должность сотрудника, ответственного за процесс</t>
  </si>
  <si>
    <t>Среднее количество выполнение процесса в мес/20 раб дней (шт)</t>
  </si>
  <si>
    <t>Процент роботизации процесса, %</t>
  </si>
  <si>
    <t>Количество минут, затрачиваемых на процесс в день (мин)</t>
  </si>
  <si>
    <t>Количество часов, затрачиваемых на процесс в месяц/20 раб дней (час)</t>
  </si>
  <si>
    <t>Количество минут, затрачиваемых на процесс в мес (мин)</t>
  </si>
  <si>
    <t xml:space="preserve">ИТОГО за 1 год: </t>
  </si>
  <si>
    <t xml:space="preserve">ИТОГО за 3 года: </t>
  </si>
  <si>
    <t>Стоимость разработки, руб.</t>
  </si>
  <si>
    <t>Стоимость сопровождения, руб./год</t>
  </si>
  <si>
    <t>Расчётное количество рабочих часов, затрачиваемых на сопровождение (час/год)</t>
  </si>
  <si>
    <t>Payback Period (Период окупаемости) (в годах)</t>
  </si>
  <si>
    <t>Расчёт стоимости процесса</t>
  </si>
  <si>
    <t xml:space="preserve">Расчёт стоимости разработки </t>
  </si>
  <si>
    <t>Итоговые показатели</t>
  </si>
  <si>
    <t>Разовые затраты (1 год)</t>
  </si>
  <si>
    <t>Суммарные годовые операционные затраты</t>
  </si>
  <si>
    <t>Затраты на лицензии (1 год)</t>
  </si>
  <si>
    <t>Экономия за год (с учётом операционных затрат)</t>
  </si>
  <si>
    <t>Оценка потенциальной экономии времени за 1 месяц (суммарно), мин.</t>
  </si>
  <si>
    <t>Оценка потенциальной экономии времени за 1 месяц (суммарно), час</t>
  </si>
  <si>
    <t>Среднее количество минут, затрачиваемых на выполнение одного процесса ЧЕЛОВЕКОМ</t>
  </si>
  <si>
    <t xml:space="preserve">Количество сотрудников, в этой должности, выполняемых процесс </t>
  </si>
  <si>
    <t>Среднее количество минут, затрачиваемых на выполнение одного процесса РОБОТОМ</t>
  </si>
  <si>
    <t>Среднее количество минут, затрачиваемых на выполнение всего процесса ЧЕЛОВЕКОМ в день</t>
  </si>
  <si>
    <t>Среднее количество минут, затрачиваемых на выполнение  всего процесса РОБОТОМ в день</t>
  </si>
  <si>
    <t>Эконимия FTE</t>
  </si>
  <si>
    <t>Оценка потенциальной экономии за 1 год, руб.</t>
  </si>
  <si>
    <t>Оценка потенциальной экономии за 1 месяц, руб.</t>
  </si>
  <si>
    <t>Экономия FTE</t>
  </si>
  <si>
    <t>Расчёт себестоимости процесса за 1 месяц</t>
  </si>
  <si>
    <t>Расчёт себестоимости процесса за 1 год</t>
  </si>
  <si>
    <t>Средняя заработная плата сотрудника в месяц, руб</t>
  </si>
  <si>
    <t>Средняя заработная плата сотрудника за 1 час работы, руб</t>
  </si>
  <si>
    <t>Общее количество выполнения процесса в день (шт)</t>
  </si>
  <si>
    <t>Расчёт себестоимости 
процесса, руб</t>
  </si>
  <si>
    <t>Оценка потенциальной экономии, руб</t>
  </si>
  <si>
    <t>Суммарная экономия времени сотрудников, час</t>
  </si>
  <si>
    <t>Среднее количество минут, затрачиваемых на выполнение всего процесса ЧЕЛОВЕКОМ в месяц</t>
  </si>
  <si>
    <t>Среднее количество минут, затрачиваемых на выполнение  всего процесса РОБОТОМ в месяц</t>
  </si>
  <si>
    <t>Среднее количество минут, затрачиваемых на выполнение всего процесса ЧЕЛОВЕКОМ в год</t>
  </si>
  <si>
    <t>Программист ответственный за разработку</t>
  </si>
  <si>
    <t>Программист ответственный за сопровождение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</si>
</sst>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3" fillId="0" borderId="13" xfId="0" applyFont="1" applyBorder="1"/>
    <xf numFmtId="0" fontId="3" fillId="3" borderId="5" xfId="0" applyFont="1" applyFill="1" applyBorder="1" applyAlignment="1">
      <alignment vertical="center"/>
    </xf>
    <xf numFmtId="0" fontId="3" fillId="0" borderId="7" xfId="0" applyFont="1" applyBorder="1"/>
    <xf numFmtId="0" fontId="3" fillId="0" borderId="0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/>
    <xf numFmtId="0" fontId="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11" xfId="0" applyFont="1" applyBorder="1"/>
    <xf numFmtId="0" fontId="1" fillId="0" borderId="12" xfId="0" applyFont="1" applyBorder="1"/>
    <xf numFmtId="0" fontId="3" fillId="0" borderId="0" xfId="0" applyFont="1" applyBorder="1" applyAlignment="1"/>
    <xf numFmtId="0" fontId="5" fillId="3" borderId="5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2" fontId="5" fillId="0" borderId="1" xfId="1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2" fontId="5" fillId="0" borderId="1" xfId="0" applyNumberFormat="1" applyFont="1" applyFill="1" applyBorder="1" applyAlignment="1">
      <alignment vertical="center"/>
    </xf>
    <xf numFmtId="2" fontId="5" fillId="0" borderId="1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/>
    </xf>
    <xf numFmtId="2" fontId="5" fillId="0" borderId="6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zoomScale="60" zoomScaleNormal="60" workbookViewId="0">
      <selection activeCell="D19" sqref="D19"/>
    </sheetView>
  </sheetViews>
  <sheetFormatPr defaultRowHeight="15" x14ac:dyDescent="0.25"/>
  <cols>
    <col min="1" max="1" width="84.140625" style="9" customWidth="1"/>
    <col min="2" max="2" width="52.85546875" style="9" customWidth="1"/>
    <col min="3" max="3" width="32.28515625" style="9" customWidth="1"/>
    <col min="4" max="4" width="44.5703125" style="9" customWidth="1"/>
    <col min="5" max="5" width="43" style="9" customWidth="1"/>
    <col min="6" max="6" width="40.140625" style="9" customWidth="1"/>
    <col min="7" max="7" width="42.5703125" style="9" customWidth="1"/>
    <col min="8" max="8" width="41.7109375" style="9" customWidth="1"/>
    <col min="9" max="10" width="44" style="9" customWidth="1"/>
    <col min="11" max="11" width="25.140625" style="9" customWidth="1"/>
    <col min="12" max="12" width="29.28515625" style="9" customWidth="1"/>
    <col min="13" max="13" width="28" style="9" customWidth="1"/>
    <col min="14" max="14" width="35.140625" style="9" customWidth="1"/>
    <col min="15" max="15" width="14.7109375" style="9" customWidth="1"/>
    <col min="16" max="16384" width="9.140625" style="9"/>
  </cols>
  <sheetData>
    <row r="1" spans="1:14" ht="15.75" thickBot="1" x14ac:dyDescent="0.3"/>
    <row r="2" spans="1:14" ht="31.5" customHeight="1" thickBot="1" x14ac:dyDescent="0.3">
      <c r="A2" s="50" t="s">
        <v>15</v>
      </c>
      <c r="B2" s="51"/>
      <c r="C2" s="24"/>
      <c r="D2" s="48" t="s">
        <v>16</v>
      </c>
      <c r="E2" s="49"/>
      <c r="F2" s="53"/>
      <c r="G2" s="54"/>
      <c r="H2" s="24"/>
      <c r="K2" s="10"/>
      <c r="L2" s="11"/>
      <c r="M2" s="11"/>
      <c r="N2" s="11"/>
    </row>
    <row r="3" spans="1:14" ht="15.75" thickBot="1" x14ac:dyDescent="0.3">
      <c r="A3" s="12"/>
      <c r="B3" s="12"/>
      <c r="D3" s="7"/>
      <c r="E3" s="6"/>
      <c r="F3" s="6"/>
      <c r="G3" s="8"/>
      <c r="K3" s="10"/>
      <c r="L3" s="11"/>
      <c r="M3" s="11"/>
      <c r="N3" s="11"/>
    </row>
    <row r="4" spans="1:14" ht="44.25" customHeight="1" x14ac:dyDescent="0.25">
      <c r="A4" s="30" t="s">
        <v>2</v>
      </c>
      <c r="B4" s="27"/>
      <c r="D4" s="31" t="s">
        <v>44</v>
      </c>
      <c r="E4" s="32" t="s">
        <v>0</v>
      </c>
      <c r="F4" s="32" t="s">
        <v>1</v>
      </c>
      <c r="G4" s="33" t="s">
        <v>11</v>
      </c>
    </row>
    <row r="5" spans="1:14" ht="53.25" customHeight="1" x14ac:dyDescent="0.25">
      <c r="A5" s="25" t="s">
        <v>3</v>
      </c>
      <c r="B5" s="27"/>
      <c r="D5" s="38"/>
      <c r="E5" s="28"/>
      <c r="F5" s="28">
        <f>750</f>
        <v>750</v>
      </c>
      <c r="G5" s="37">
        <f>F5*E5</f>
        <v>0</v>
      </c>
    </row>
    <row r="6" spans="1:14" ht="30" customHeight="1" x14ac:dyDescent="0.25">
      <c r="A6" s="25" t="s">
        <v>25</v>
      </c>
      <c r="B6" s="28"/>
      <c r="D6" s="7"/>
      <c r="E6" s="6"/>
      <c r="F6" s="6"/>
      <c r="G6" s="8"/>
    </row>
    <row r="7" spans="1:14" ht="45.75" customHeight="1" x14ac:dyDescent="0.25">
      <c r="A7" s="25" t="s">
        <v>35</v>
      </c>
      <c r="B7" s="28"/>
      <c r="D7" s="34" t="s">
        <v>45</v>
      </c>
      <c r="E7" s="35" t="s">
        <v>13</v>
      </c>
      <c r="F7" s="35" t="s">
        <v>1</v>
      </c>
      <c r="G7" s="36" t="s">
        <v>12</v>
      </c>
    </row>
    <row r="8" spans="1:14" ht="51" customHeight="1" x14ac:dyDescent="0.25">
      <c r="A8" s="25" t="s">
        <v>36</v>
      </c>
      <c r="B8" s="28">
        <f>(B7/20)/8</f>
        <v>0</v>
      </c>
      <c r="C8" s="13"/>
      <c r="D8" s="38"/>
      <c r="E8" s="28"/>
      <c r="F8" s="28">
        <f>750</f>
        <v>750</v>
      </c>
      <c r="G8" s="37">
        <f>F8*E8</f>
        <v>0</v>
      </c>
    </row>
    <row r="9" spans="1:14" ht="39.75" customHeight="1" x14ac:dyDescent="0.25">
      <c r="A9" s="25" t="s">
        <v>37</v>
      </c>
      <c r="B9" s="28"/>
      <c r="D9" s="7"/>
      <c r="E9" s="6"/>
      <c r="F9" s="6"/>
      <c r="G9" s="8"/>
    </row>
    <row r="10" spans="1:14" ht="42" customHeight="1" thickBot="1" x14ac:dyDescent="0.3">
      <c r="A10" s="25" t="s">
        <v>4</v>
      </c>
      <c r="B10" s="28">
        <f>B9*20</f>
        <v>0</v>
      </c>
      <c r="D10" s="47" t="s">
        <v>20</v>
      </c>
      <c r="E10" s="46"/>
      <c r="F10" s="14"/>
      <c r="G10" s="15"/>
    </row>
    <row r="11" spans="1:14" ht="37.5" customHeight="1" x14ac:dyDescent="0.25">
      <c r="A11" s="25" t="s">
        <v>6</v>
      </c>
      <c r="B11" s="28">
        <f>1*B9</f>
        <v>0</v>
      </c>
      <c r="D11" s="6"/>
      <c r="E11" s="6"/>
      <c r="F11" s="6"/>
      <c r="G11" s="6"/>
    </row>
    <row r="12" spans="1:14" ht="33" customHeight="1" x14ac:dyDescent="0.25">
      <c r="A12" s="25" t="s">
        <v>8</v>
      </c>
      <c r="B12" s="28">
        <f>B11*B9</f>
        <v>0</v>
      </c>
    </row>
    <row r="13" spans="1:14" ht="36.75" customHeight="1" x14ac:dyDescent="0.25">
      <c r="A13" s="25" t="s">
        <v>7</v>
      </c>
      <c r="B13" s="28">
        <f>B12/60</f>
        <v>0</v>
      </c>
    </row>
    <row r="14" spans="1:14" ht="37.5" customHeight="1" x14ac:dyDescent="0.25">
      <c r="A14" s="25" t="s">
        <v>5</v>
      </c>
      <c r="B14" s="28"/>
    </row>
    <row r="15" spans="1:14" ht="37.5" customHeight="1" x14ac:dyDescent="0.25">
      <c r="A15" s="26" t="s">
        <v>22</v>
      </c>
      <c r="B15" s="28">
        <f>(B12/100)*B14</f>
        <v>0</v>
      </c>
    </row>
    <row r="16" spans="1:14" ht="45" customHeight="1" x14ac:dyDescent="0.25">
      <c r="A16" s="25" t="s">
        <v>23</v>
      </c>
      <c r="B16" s="28">
        <f>B15/60</f>
        <v>0</v>
      </c>
    </row>
    <row r="17" spans="1:9" ht="34.5" customHeight="1" x14ac:dyDescent="0.25">
      <c r="A17" s="25" t="s">
        <v>33</v>
      </c>
      <c r="B17" s="28">
        <f>($B$7/160)*$B$13</f>
        <v>0</v>
      </c>
    </row>
    <row r="18" spans="1:9" ht="40.5" customHeight="1" x14ac:dyDescent="0.25">
      <c r="A18" s="25" t="s">
        <v>34</v>
      </c>
      <c r="B18" s="28">
        <f>(($B$7/160)*$B$13)*12</f>
        <v>0</v>
      </c>
    </row>
    <row r="19" spans="1:9" ht="50.25" customHeight="1" x14ac:dyDescent="0.25">
      <c r="A19" s="25" t="s">
        <v>31</v>
      </c>
      <c r="B19" s="29">
        <f>$B$16*($B$7/160)</f>
        <v>0</v>
      </c>
      <c r="E19" s="1"/>
      <c r="F19" s="1"/>
      <c r="G19" s="1"/>
      <c r="H19" s="1"/>
    </row>
    <row r="20" spans="1:9" ht="27.75" customHeight="1" x14ac:dyDescent="0.25">
      <c r="A20" s="25" t="s">
        <v>30</v>
      </c>
      <c r="B20" s="29">
        <f>($B$16*($B$7/160))*12</f>
        <v>0</v>
      </c>
      <c r="H20" s="1"/>
    </row>
    <row r="21" spans="1:9" ht="46.5" customHeight="1" x14ac:dyDescent="0.25">
      <c r="A21" s="25" t="s">
        <v>29</v>
      </c>
      <c r="B21" s="29">
        <f>$B$13/160</f>
        <v>0</v>
      </c>
    </row>
    <row r="22" spans="1:9" ht="28.5" customHeight="1" x14ac:dyDescent="0.25"/>
    <row r="23" spans="1:9" ht="16.5" customHeight="1" x14ac:dyDescent="0.25"/>
    <row r="24" spans="1:9" ht="44.25" customHeight="1" x14ac:dyDescent="0.25"/>
    <row r="26" spans="1:9" ht="15.75" thickBot="1" x14ac:dyDescent="0.3"/>
    <row r="27" spans="1:9" ht="34.5" customHeight="1" thickBot="1" x14ac:dyDescent="0.3">
      <c r="A27" s="52" t="s">
        <v>17</v>
      </c>
      <c r="B27" s="53"/>
      <c r="C27" s="53"/>
      <c r="D27" s="53"/>
      <c r="E27" s="53"/>
      <c r="F27" s="53"/>
      <c r="G27" s="53"/>
      <c r="H27" s="53"/>
      <c r="I27" s="54"/>
    </row>
    <row r="28" spans="1:9" ht="15.75" thickBot="1" x14ac:dyDescent="0.3"/>
    <row r="29" spans="1:9" ht="51.75" customHeight="1" x14ac:dyDescent="0.25">
      <c r="A29" s="2"/>
      <c r="B29" s="39" t="s">
        <v>38</v>
      </c>
      <c r="C29" s="39" t="s">
        <v>39</v>
      </c>
      <c r="D29" s="19" t="s">
        <v>40</v>
      </c>
      <c r="F29" s="44" t="s">
        <v>24</v>
      </c>
      <c r="G29" s="39" t="s">
        <v>27</v>
      </c>
      <c r="H29" s="39" t="s">
        <v>41</v>
      </c>
      <c r="I29" s="39" t="s">
        <v>43</v>
      </c>
    </row>
    <row r="30" spans="1:9" ht="30.75" customHeight="1" thickBot="1" x14ac:dyDescent="0.3">
      <c r="A30" s="3" t="s">
        <v>9</v>
      </c>
      <c r="B30" s="40">
        <f>B18</f>
        <v>0</v>
      </c>
      <c r="C30" s="40">
        <f>B20</f>
        <v>0</v>
      </c>
      <c r="D30" s="41">
        <f>B16*12</f>
        <v>0</v>
      </c>
      <c r="F30" s="45">
        <f>1</f>
        <v>1</v>
      </c>
      <c r="G30" s="46">
        <v>20</v>
      </c>
      <c r="H30" s="46">
        <f>F30*20</f>
        <v>20</v>
      </c>
      <c r="I30" s="46">
        <f>H30*12</f>
        <v>240</v>
      </c>
    </row>
    <row r="31" spans="1:9" ht="28.5" customHeight="1" thickBot="1" x14ac:dyDescent="0.3">
      <c r="A31" s="3" t="s">
        <v>10</v>
      </c>
      <c r="B31" s="42">
        <f>B30*3</f>
        <v>0</v>
      </c>
      <c r="C31" s="42">
        <f>C30*3</f>
        <v>0</v>
      </c>
      <c r="D31" s="43">
        <f>D30*3</f>
        <v>0</v>
      </c>
    </row>
    <row r="32" spans="1:9" ht="60" customHeight="1" x14ac:dyDescent="0.25">
      <c r="A32" s="4"/>
      <c r="B32" s="5"/>
      <c r="C32" s="5"/>
      <c r="D32" s="8"/>
      <c r="F32" s="44" t="s">
        <v>26</v>
      </c>
      <c r="G32" s="39" t="s">
        <v>28</v>
      </c>
      <c r="H32" s="39" t="s">
        <v>42</v>
      </c>
      <c r="I32" s="39" t="s">
        <v>42</v>
      </c>
    </row>
    <row r="33" spans="1:9" ht="36" customHeight="1" thickBot="1" x14ac:dyDescent="0.3">
      <c r="A33" s="17" t="s">
        <v>18</v>
      </c>
      <c r="B33" s="20">
        <f>G5</f>
        <v>0</v>
      </c>
      <c r="C33" s="6"/>
      <c r="D33" s="8"/>
      <c r="F33" s="45"/>
      <c r="G33" s="46"/>
      <c r="H33" s="46"/>
      <c r="I33" s="46"/>
    </row>
    <row r="34" spans="1:9" ht="28.5" customHeight="1" x14ac:dyDescent="0.25">
      <c r="A34" s="17" t="s">
        <v>19</v>
      </c>
      <c r="B34" s="21">
        <f>E10+G8</f>
        <v>0</v>
      </c>
      <c r="C34" s="6"/>
      <c r="D34" s="8"/>
    </row>
    <row r="35" spans="1:9" ht="30.75" customHeight="1" x14ac:dyDescent="0.25">
      <c r="A35" s="17" t="s">
        <v>21</v>
      </c>
      <c r="B35" s="22">
        <f>C30-B34</f>
        <v>0</v>
      </c>
      <c r="C35" s="6"/>
      <c r="D35" s="8"/>
    </row>
    <row r="36" spans="1:9" ht="30.75" customHeight="1" x14ac:dyDescent="0.25">
      <c r="A36" s="17" t="s">
        <v>14</v>
      </c>
      <c r="B36" s="22" t="e">
        <f>B33/B35</f>
        <v>#DIV/0!</v>
      </c>
      <c r="C36" s="6"/>
      <c r="D36" s="8"/>
    </row>
    <row r="37" spans="1:9" ht="27" customHeight="1" thickBot="1" x14ac:dyDescent="0.3">
      <c r="A37" s="18" t="s">
        <v>32</v>
      </c>
      <c r="B37" s="23">
        <f>B21</f>
        <v>0</v>
      </c>
      <c r="C37" s="14"/>
      <c r="D37" s="15"/>
    </row>
    <row r="39" spans="1:9" ht="41.25" customHeight="1" x14ac:dyDescent="0.25"/>
    <row r="40" spans="1:9" ht="26.25" customHeight="1" x14ac:dyDescent="0.25"/>
    <row r="41" spans="1:9" ht="21.75" customHeight="1" x14ac:dyDescent="0.25"/>
    <row r="42" spans="1:9" ht="30" customHeight="1" x14ac:dyDescent="0.25"/>
    <row r="43" spans="1:9" ht="22.5" customHeight="1" x14ac:dyDescent="0.25"/>
    <row r="44" spans="1:9" ht="24" customHeight="1" x14ac:dyDescent="0.25"/>
    <row r="45" spans="1:9" ht="23.25" customHeight="1" x14ac:dyDescent="0.25"/>
    <row r="46" spans="1:9" ht="27.75" customHeight="1" x14ac:dyDescent="0.25"/>
    <row r="47" spans="1:9" ht="23.25" customHeight="1" x14ac:dyDescent="0.25"/>
    <row r="48" spans="1:9" ht="28.5" customHeight="1" x14ac:dyDescent="0.25">
      <c r="A48" s="5"/>
      <c r="C48" s="6"/>
    </row>
    <row r="49" spans="2:3" ht="30" customHeight="1" x14ac:dyDescent="0.25"/>
    <row r="50" spans="2:3" ht="31.5" customHeight="1" x14ac:dyDescent="0.25"/>
    <row r="51" spans="2:3" ht="33.75" customHeight="1" x14ac:dyDescent="0.25"/>
    <row r="52" spans="2:3" ht="26.25" customHeight="1" x14ac:dyDescent="0.25"/>
    <row r="53" spans="2:3" ht="27" customHeight="1" x14ac:dyDescent="0.25"/>
    <row r="54" spans="2:3" ht="15.75" x14ac:dyDescent="0.25">
      <c r="B54" s="16"/>
      <c r="C54" s="16"/>
    </row>
  </sheetData>
  <mergeCells count="3">
    <mergeCell ref="A2:B2"/>
    <mergeCell ref="A27:I27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Расчёт стоимости процесса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2026-05-19T08:11:28Z</dcterms:modified>
</cp:coreProperties>
</file>